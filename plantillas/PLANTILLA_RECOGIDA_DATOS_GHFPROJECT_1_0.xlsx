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21caaaeca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51bc6422b00e4ca1"/>
    <x:sheet xmlns:r="http://schemas.openxmlformats.org/officeDocument/2006/relationships" name="01_Instrucciones" sheetId="2" r:id="R44af655847d14611"/>
    <x:sheet xmlns:r="http://schemas.openxmlformats.org/officeDocument/2006/relationships" name="10_Proyecto_Centro" sheetId="3" r:id="R49e70400aa0c46e2"/>
    <x:sheet xmlns:r="http://schemas.openxmlformats.org/officeDocument/2006/relationships" name="11_Tiempo" sheetId="4" r:id="Radf5b2a845aa4bd2"/>
    <x:sheet xmlns:r="http://schemas.openxmlformats.org/officeDocument/2006/relationships" name="20_Grupos" sheetId="5" r:id="R9a38b0b044884277"/>
    <x:sheet xmlns:r="http://schemas.openxmlformats.org/officeDocument/2006/relationships" name="21_Profesorado" sheetId="6" r:id="Rf3e152f40a034637"/>
    <x:sheet xmlns:r="http://schemas.openxmlformats.org/officeDocument/2006/relationships" name="22_Profesorado_Detalle" sheetId="7" r:id="Rf012faca42ee4397"/>
    <x:sheet xmlns:r="http://schemas.openxmlformats.org/officeDocument/2006/relationships" name="30_Materias" sheetId="8" r:id="Rd2ebe1bdf3e64b7e"/>
    <x:sheet xmlns:r="http://schemas.openxmlformats.org/officeDocument/2006/relationships" name="31_Espacios" sheetId="9" r:id="R62e27bd130a94b32"/>
    <x:sheet xmlns:r="http://schemas.openxmlformats.org/officeDocument/2006/relationships" name="40_Necesidades" sheetId="10" r:id="Ref81699bcd5340fc"/>
    <x:sheet xmlns:r="http://schemas.openxmlformats.org/officeDocument/2006/relationships" name="41_Necesidad_Detalle" sheetId="11" r:id="Rfb84dddced814044"/>
    <x:sheet xmlns:r="http://schemas.openxmlformats.org/officeDocument/2006/relationships" name="50_Disponibilidad" sheetId="12" r:id="R1706f92bb9764ada"/>
    <x:sheet xmlns:r="http://schemas.openxmlformats.org/officeDocument/2006/relationships" name="60_Actividades" sheetId="13" r:id="R9c340fff2df44da3"/>
    <x:sheet xmlns:r="http://schemas.openxmlformats.org/officeDocument/2006/relationships" name="61_Actividad_Detalle" sheetId="14" r:id="R83d709dc0c0f4de2"/>
    <x:sheet xmlns:r="http://schemas.openxmlformats.org/officeDocument/2006/relationships" name="70_Restricciones" sheetId="15" r:id="R7f522e339ce74093"/>
    <x:sheet xmlns:r="http://schemas.openxmlformats.org/officeDocument/2006/relationships" name="71_Configuracion" sheetId="16" r:id="R35a33807ea6941d5"/>
    <x:sheet xmlns:r="http://schemas.openxmlformats.org/officeDocument/2006/relationships" name="90_Control" sheetId="17" r:id="R619997253c774618"/>
    <x:sheet xmlns:r="http://schemas.openxmlformats.org/officeDocument/2006/relationships" name="99_Listas" sheetId="18" r:id="Rc974df6a4856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234E52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4C5C"/>
      </x:patternFill>
    </x:fill>
    <x:fill>
      <x:patternFill patternType="solid">
        <x:fgColor rgb="D9EEF2"/>
      </x:patternFill>
    </x:fill>
    <x:fill>
      <x:patternFill patternType="solid">
        <x:fgColor rgb="155E75"/>
      </x:patternFill>
    </x:fill>
    <x:fill>
      <x:patternFill patternType="solid">
        <x:fgColor rgb="0E749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911ee30894d08" /><Relationship Type="http://schemas.openxmlformats.org/officeDocument/2006/relationships/theme" Target="/xl/theme/theme1.xml" Id="Rf4c0e1782f5243a9" /><Relationship Type="http://schemas.openxmlformats.org/officeDocument/2006/relationships/sharedStrings" Target="/xl/sharedStrings.xml" Id="R2ebf2fff89d44119" /><Relationship Type="http://schemas.openxmlformats.org/officeDocument/2006/relationships/worksheet" Target="/xl/worksheets/sheet1.xml" Id="R51bc6422b00e4ca1" /><Relationship Type="http://schemas.openxmlformats.org/officeDocument/2006/relationships/worksheet" Target="/xl/worksheets/sheet2.xml" Id="R44af655847d14611" /><Relationship Type="http://schemas.openxmlformats.org/officeDocument/2006/relationships/worksheet" Target="/xl/worksheets/sheet3.xml" Id="R49e70400aa0c46e2" /><Relationship Type="http://schemas.openxmlformats.org/officeDocument/2006/relationships/worksheet" Target="/xl/worksheets/sheet4.xml" Id="Radf5b2a845aa4bd2" /><Relationship Type="http://schemas.openxmlformats.org/officeDocument/2006/relationships/worksheet" Target="/xl/worksheets/sheet5.xml" Id="R9a38b0b044884277" /><Relationship Type="http://schemas.openxmlformats.org/officeDocument/2006/relationships/worksheet" Target="/xl/worksheets/sheet6.xml" Id="Rf3e152f40a034637" /><Relationship Type="http://schemas.openxmlformats.org/officeDocument/2006/relationships/worksheet" Target="/xl/worksheets/sheet7.xml" Id="Rf012faca42ee4397" /><Relationship Type="http://schemas.openxmlformats.org/officeDocument/2006/relationships/worksheet" Target="/xl/worksheets/sheet8.xml" Id="Rd2ebe1bdf3e64b7e" /><Relationship Type="http://schemas.openxmlformats.org/officeDocument/2006/relationships/worksheet" Target="/xl/worksheets/sheet9.xml" Id="R62e27bd130a94b32" /><Relationship Type="http://schemas.openxmlformats.org/officeDocument/2006/relationships/worksheet" Target="/xl/worksheets/sheet10.xml" Id="Ref81699bcd5340fc" /><Relationship Type="http://schemas.openxmlformats.org/officeDocument/2006/relationships/worksheet" Target="/xl/worksheets/sheet11.xml" Id="Rfb84dddced814044" /><Relationship Type="http://schemas.openxmlformats.org/officeDocument/2006/relationships/worksheet" Target="/xl/worksheets/sheet12.xml" Id="R1706f92bb9764ada" /><Relationship Type="http://schemas.openxmlformats.org/officeDocument/2006/relationships/worksheet" Target="/xl/worksheets/sheet13.xml" Id="R9c340fff2df44da3" /><Relationship Type="http://schemas.openxmlformats.org/officeDocument/2006/relationships/worksheet" Target="/xl/worksheets/sheet14.xml" Id="R83d709dc0c0f4de2" /><Relationship Type="http://schemas.openxmlformats.org/officeDocument/2006/relationships/worksheet" Target="/xl/worksheets/sheet15.xml" Id="R7f522e339ce74093" /><Relationship Type="http://schemas.openxmlformats.org/officeDocument/2006/relationships/worksheet" Target="/xl/worksheets/sheet16.xml" Id="R35a33807ea6941d5" /><Relationship Type="http://schemas.openxmlformats.org/officeDocument/2006/relationships/worksheet" Target="/xl/worksheets/sheet17.xml" Id="R619997253c774618" /><Relationship Type="http://schemas.openxmlformats.org/officeDocument/2006/relationships/worksheet" Target="/xl/worksheets/sheet18.xml" Id="Rc974df6a485643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24" hidden="0" customWidth="1"/>
    <x:col min="4" max="4" width="36" hidden="0" customWidth="1"/>
  </x:cols>
  <x:sheetData>
    <x:row r="1" ht="30" customHeight="1">
      <x:c r="A1" s="4" t="str">
        <x:v>Resumen y estado de la recogida</x:v>
      </x:c>
      <x:c r="B1" s="4"/>
      <x:c r="C1" s="4"/>
      <x:c r="D1" s="4"/>
    </x:row>
    <x:row r="2" ht="32" customHeight="1">
      <x:c r="A2" s="11" t="str">
        <x:v>Vista de control. No introduzca datos aquí.</x:v>
      </x:c>
      <x:c r="B2" s="11"/>
      <x:c r="C2" s="11"/>
      <x:c r="D2" s="11"/>
    </x:row>
    <x:row r="4">
      <x:c r="A4" s="20" t="str">
        <x:v>INDICADOR</x:v>
      </x:c>
      <x:c r="B4" s="20" t="str">
        <x:v>VALOR</x:v>
      </x:c>
      <x:c r="C4" s="20" t="str">
        <x:v>ESTADO</x:v>
      </x:c>
      <x:c r="D4" s="20" t="str">
        <x:v>NOTA</x:v>
      </x:c>
    </x:row>
    <x:row r="5">
      <x:c r="A5" s="28" t="str">
        <x:v>Grupos</x:v>
      </x:c>
      <x:c r="B5" s="28" t="n">
        <x:f>COUNTA('20_Grupos'!A5:A1000)</x:f>
        <x:v>0</x:v>
      </x:c>
      <x:c r="C5" s="28" t="str">
        <x:v>—</x:v>
      </x:c>
      <x:c r="D5" s="28" t="str">
        <x:v>Filas cumplimentadas</x:v>
      </x:c>
    </x:row>
    <x:row r="6">
      <x:c r="A6" s="28" t="str">
        <x:v>Docentes</x:v>
      </x:c>
      <x:c r="B6" s="28" t="n">
        <x:f>COUNTA('21_Profesorado'!A5:A1000)</x:f>
        <x:v>0</x:v>
      </x:c>
      <x:c r="C6" s="28" t="str">
        <x:v>—</x:v>
      </x:c>
      <x:c r="D6" s="28" t="str">
        <x:v>Filas cumplimentadas</x:v>
      </x:c>
    </x:row>
    <x:row r="7">
      <x:c r="A7" s="28" t="str">
        <x:v>Materias</x:v>
      </x:c>
      <x:c r="B7" s="28" t="n">
        <x:f>COUNTA('30_Materias'!A5:A1000)</x:f>
        <x:v>0</x:v>
      </x:c>
      <x:c r="C7" s="28" t="str">
        <x:v>—</x:v>
      </x:c>
      <x:c r="D7" s="28" t="str">
        <x:v>Filas cumplimentadas</x:v>
      </x:c>
    </x:row>
    <x:row r="8">
      <x:c r="A8" s="28" t="str">
        <x:v>Espacios</x:v>
      </x:c>
      <x:c r="B8" s="28" t="n">
        <x:f>COUNTA('31_Espacios'!A5:A1000)</x:f>
        <x:v>0</x:v>
      </x:c>
      <x:c r="C8" s="28" t="str">
        <x:v>—</x:v>
      </x:c>
      <x:c r="D8" s="28" t="str">
        <x:v>Filas cumplimentadas</x:v>
      </x:c>
    </x:row>
    <x:row r="9">
      <x:c r="A9" s="28" t="str">
        <x:v>Necesidades</x:v>
      </x:c>
      <x:c r="B9" s="28" t="n">
        <x:f>COUNTA('40_Necesidades'!A5:A5000)</x:f>
        <x:v>0</x:v>
      </x:c>
      <x:c r="C9" s="28" t="str">
        <x:v>—</x:v>
      </x:c>
      <x:c r="D9" s="28" t="str">
        <x:v>Filas cumplimentadas</x:v>
      </x:c>
    </x:row>
    <x:row r="10">
      <x:c r="A10" s="28" t="str">
        <x:v>Sesiones semanales</x:v>
      </x:c>
      <x:c r="B10" s="28" t="n">
        <x:f>SUM('40_Necesidades'!D5:D5000)</x:f>
        <x:v>0</x:v>
      </x:c>
      <x:c r="C10" s="28" t="str">
        <x:v>—</x:v>
      </x:c>
      <x:c r="D10" s="28" t="str">
        <x:v>Suma declarada</x:v>
      </x:c>
    </x:row>
    <x:row r="11">
      <x:c r="A11" s="28" t="str">
        <x:v>Actividades</x:v>
      </x:c>
      <x:c r="B11" s="28" t="n">
        <x:f>COUNTA('60_Actividades'!A5:A5000)</x:f>
        <x:v>0</x:v>
      </x:c>
      <x:c r="C11" s="28" t="str">
        <x:v>—</x:v>
      </x:c>
      <x:c r="D11" s="28" t="str">
        <x:v>Filas cumplimentadas</x:v>
      </x:c>
    </x:row>
    <x:row r="12">
      <x:c r="A12" s="28" t="str">
        <x:v>Incidencias bloqueantes</x:v>
      </x:c>
      <x:c r="B12" s="28" t="n">
        <x:f>SUMIFS('90_Control'!C5:C14,'90_Control'!B5:B14,"BLOQUEANTE")</x:f>
        <x:v>8</x:v>
      </x:c>
      <x:c r="C12" s="28" t="str">
        <x:f>IF(B12=0,"LISTA PARA PREFLIGHT","REVISAR")</x:f>
        <x:v>REVISAR</x:v>
      </x:c>
      <x:c r="D12" s="28" t="str">
        <x:v>Debe ser 0 antes del preflight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66" hidden="0" customWidth="1"/>
  </x:cols>
  <x:sheetData>
    <x:row r="1" ht="30" customHeight="1">
      <x:c r="A1" s="4" t="str">
        <x:v>Instrucciones de cumplimentación</x:v>
      </x:c>
      <x:c r="B1" s="4"/>
      <x:c r="C1" s="4"/>
      <x:c r="D1" s="4"/>
    </x:row>
    <x:row r="2" ht="32" customHeight="1">
      <x:c r="A2" s="11" t="str">
        <x:v>Lea esta hoja antes de introducir datos.</x:v>
      </x:c>
      <x:c r="B2" s="11"/>
      <x:c r="C2" s="11"/>
      <x:c r="D2" s="11"/>
    </x:row>
    <x:row r="4">
      <x:c r="A4" s="20" t="str">
        <x:v>PASO</x:v>
      </x:c>
      <x:c r="B4" s="20" t="str">
        <x:v>ACCIÓN</x:v>
      </x:c>
      <x:c r="C4" s="20" t="str">
        <x:v>REGLA</x:v>
      </x:c>
    </x:row>
    <x:row r="5">
      <x:c r="A5" s="28" t="str">
        <x:v>1</x:v>
      </x:c>
      <x:c r="B5" s="28" t="str">
        <x:v>Complete 10_Proyecto_Centro</x:v>
      </x:c>
      <x:c r="C5" s="28" t="str">
        <x:v>Una sola fila. Para datos reales use REAL y PRIVATE.</x:v>
      </x:c>
    </x:row>
    <x:row r="6">
      <x:c r="A6" s="28" t="str">
        <x:v>2</x:v>
      </x:c>
      <x:c r="B6" s="28" t="str">
        <x:v>Defina días y tramos</x:v>
      </x:c>
      <x:c r="C6" s="28" t="str">
        <x:v>Los códigos deben ser únicos y estables.</x:v>
      </x:c>
    </x:row>
    <x:row r="7">
      <x:c r="A7" s="28" t="str">
        <x:v>3</x:v>
      </x:c>
      <x:c r="B7" s="28" t="str">
        <x:v>Introduzca grupos, profesorado, materias y espacios</x:v>
      </x:c>
      <x:c r="C7" s="28" t="str">
        <x:v>No incluya datos personales innecesarios.</x:v>
      </x:c>
    </x:row>
    <x:row r="8">
      <x:c r="A8" s="28" t="str">
        <x:v>4</x:v>
      </x:c>
      <x:c r="B8" s="28" t="str">
        <x:v>Describa necesidades lectivas</x:v>
      </x:c>
      <x:c r="C8" s="28" t="str">
        <x:v>Una necesidad no es una sesión concreta.</x:v>
      </x:c>
    </x:row>
    <x:row r="9">
      <x:c r="A9" s="28" t="str">
        <x:v>5</x:v>
      </x:c>
      <x:c r="B9" s="28" t="str">
        <x:v>Añada requisitos, disponibilidad y actividades</x:v>
      </x:c>
      <x:c r="C9" s="28" t="str">
        <x:v>Use las hojas de detalle; no separe valores con comas.</x:v>
      </x:c>
    </x:row>
    <x:row r="10">
      <x:c r="A10" s="28" t="str">
        <x:v>6</x:v>
      </x:c>
      <x:c r="B10" s="28" t="str">
        <x:v>Revise 90_Control</x:v>
      </x:c>
      <x:c r="C10" s="28" t="str">
        <x:v>Resuelva las incidencias antes de P6-0E.</x:v>
      </x:c>
    </x:row>
    <x:row r="11">
      <x:c r="A11" s="28" t="str">
        <x:v>7</x:v>
      </x:c>
      <x:c r="B11" s="28" t="str">
        <x:v>Guarde una copia privada</x:v>
      </x:c>
      <x:c r="C11" s="28" t="str">
        <x:v>El archivo real no puede subirse al repositorio público.</x:v>
      </x:c>
    </x:row>
    <x:row r="12">
      <x:c r="A12" s="28" t="str">
        <x:v>8</x:v>
      </x:c>
      <x:c r="B12" s="28" t="str">
        <x:v>Importación futura</x:v>
      </x:c>
      <x:c r="C12" s="28" t="str">
        <x:v>P6-0E convertirá la plantilla validada en .ghfproject.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 ht="30" customHeight="1">
      <x:c r="A1" s="4" t="str">
        <x:v>Proyecto, centro y curso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2" customHeight="1">
      <x:c r="A2" s="11" t="str">
        <x:v>Complete una única fila. Los campos con * son obligatorios.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4">
      <x:c r="A4" s="26" t="str">
        <x:v>codigo_proyecto*</x:v>
      </x:c>
      <x:c r="B4" s="26" t="str">
        <x:v>titulo_proyecto*</x:v>
      </x:c>
      <x:c r="C4" s="26" t="str">
        <x:v>estado*</x:v>
      </x:c>
      <x:c r="D4" s="26" t="str">
        <x:v>codigo_centro*</x:v>
      </x:c>
      <x:c r="E4" s="26" t="str">
        <x:v>nombre_centro*</x:v>
      </x:c>
      <x:c r="F4" s="26" t="str">
        <x:v>tipo_centro*</x:v>
      </x:c>
      <x:c r="G4" s="26" t="str">
        <x:v>comunidad_autonoma*</x:v>
      </x:c>
      <x:c r="H4" s="26" t="str">
        <x:v>localidad*</x:v>
      </x:c>
      <x:c r="I4" s="26" t="str">
        <x:v>curso_academico*</x:v>
      </x:c>
      <x:c r="J4" s="20" t="str">
        <x:v>fecha_inicio</x:v>
      </x:c>
      <x:c r="K4" s="20" t="str">
        <x:v>fecha_fin</x:v>
      </x:c>
      <x:c r="L4" s="26" t="str">
        <x:v>zona_horaria*</x:v>
      </x:c>
      <x:c r="M4" s="26" t="str">
        <x:v>naturaleza_datos*</x:v>
      </x:c>
      <x:c r="N4" s="26" t="str">
        <x:v>privacidad*</x:v>
      </x:c>
      <x:c r="O4" s="20" t="str">
        <x:v>notas</x:v>
      </x:c>
    </x:row>
    <x:row r="5">
      <x:c r="C5" t="str">
        <x:v>DRAFT</x:v>
      </x:c>
      <x:c r="L5" t="str">
        <x:v>Europe/Madrid</x:v>
      </x:c>
      <x:c r="M5" t="str">
        <x:v>REAL</x:v>
      </x:c>
      <x:c r="N5" t="str">
        <x:v>PRIVATE</x:v>
      </x:c>
    </x:row>
  </x:sheetData>
  <x:dataValidations count="3">
    <x:dataValidation type="list" sqref="C5:C50">
      <x:formula1>'99_Listas'!$A$5:$A$9</x:formula1>
    </x:dataValidation>
    <x:dataValidation type="list" sqref="M5:M50">
      <x:formula1>'99_Listas'!$E$5:$E$7</x:formula1>
    </x:dataValidation>
    <x:dataValidation type="list" sqref="N5:N50">
      <x:formula1>'99_Listas'!$F$5:$F$8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Días y tramos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Use DAY para días y SLOT para tramos horarios.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tipo_registro*</x:v>
      </x:c>
      <x:c r="B4" s="26" t="str">
        <x:v>codigo*</x:v>
      </x:c>
      <x:c r="C4" s="26" t="str">
        <x:v>nombre*</x:v>
      </x:c>
      <x:c r="D4" s="26" t="str">
        <x:v>orden*</x:v>
      </x:c>
      <x:c r="E4" s="20" t="str">
        <x:v>tipo_tramo</x:v>
      </x:c>
      <x:c r="F4" s="20" t="str">
        <x:v>hora_inicio</x:v>
      </x:c>
      <x:c r="G4" s="20" t="str">
        <x:v>hora_fin</x:v>
      </x:c>
      <x:c r="H4" s="20" t="str">
        <x:v>cuenta_presencia</x:v>
      </x:c>
    </x:row>
  </x:sheetData>
  <x:dataValidations count="3">
    <x:dataValidation type="list" sqref="A5:A500">
      <x:formula1>'99_Listas'!$C$5:$C$6</x:formula1>
    </x:dataValidation>
    <x:dataValidation type="list" sqref="E5:E500">
      <x:formula1>'99_Listas'!$D$5:$D$10</x:formula1>
    </x:dataValidation>
    <x:dataValidation type="list" sqref="H5:H500">
      <x:formula1>'99_Listas'!$B$5:$B$6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Grupos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Cada grupo debe tener un código único y estable.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codigo_grupo*</x:v>
      </x:c>
      <x:c r="B4" s="26" t="str">
        <x:v>nombre*</x:v>
      </x:c>
      <x:c r="C4" s="26" t="str">
        <x:v>etapa*</x:v>
      </x:c>
      <x:c r="D4" s="20" t="str">
        <x:v>nivel</x:v>
      </x:c>
      <x:c r="E4" s="20" t="str">
        <x:v>seccion</x:v>
      </x:c>
      <x:c r="F4" s="20" t="str">
        <x:v>codigo_tutor</x:v>
      </x:c>
      <x:c r="G4" s="20" t="str">
        <x:v>codigo_espacio_base</x:v>
      </x:c>
      <x:c r="H4" s="26" t="str">
        <x:v>activo*</x:v>
      </x:c>
    </x:row>
  </x:sheetData>
  <x:dataValidations count="1">
    <x:dataValidation type="list" sqref="H5:H1000">
      <x:formula1>'99_Listas'!$B$5:$B$6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Profesorado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Incluya solo información organizativa necesaria.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26" t="str">
        <x:v>codigo_docente*</x:v>
      </x:c>
      <x:c r="B4" s="26" t="str">
        <x:v>nombre_mostrar*</x:v>
      </x:c>
      <x:c r="C4" s="26" t="str">
        <x:v>fraccion_jornada*</x:v>
      </x:c>
      <x:c r="D4" s="26" t="str">
        <x:v>itinerante*</x:v>
      </x:c>
      <x:c r="E4" s="20" t="str">
        <x:v>tramos_presencia_semanal</x:v>
      </x:c>
      <x:c r="F4" s="26" t="str">
        <x:v>limite_lectivo_semanal*</x:v>
      </x:c>
      <x:c r="G4" s="20" t="str">
        <x:v>objetivo_no_lectivos</x:v>
      </x:c>
      <x:c r="H4" s="26" t="str">
        <x:v>activo*</x:v>
      </x:c>
      <x:c r="I4" s="20" t="str">
        <x:v>observaciones</x:v>
      </x:c>
    </x:row>
  </x:sheetData>
  <x:dataValidations count="2">
    <x:dataValidation type="list" sqref="D5:D1000">
      <x:formula1>'99_Listas'!$B$5:$B$6</x:formula1>
    </x:dataValidation>
    <x:dataValidation type="list" sqref="H5:H1000">
      <x:formula1>'99_Listas'!$B$5:$B$6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30" customHeight="1">
      <x:c r="A1" s="4" t="str">
        <x:v>Especialidades, reducciones y roles</x:v>
      </x:c>
      <x:c r="B1" s="4"/>
      <x:c r="C1" s="4"/>
      <x:c r="D1" s="4"/>
      <x:c r="E1" s="4"/>
      <x:c r="F1" s="4"/>
      <x:c r="G1" s="4"/>
    </x:row>
    <x:row r="2" ht="32" customHeight="1">
      <x:c r="A2" s="11" t="str">
        <x:v>Una fila por especialidad, reducción o rol.</x:v>
      </x:c>
      <x:c r="B2" s="11"/>
      <x:c r="C2" s="11"/>
      <x:c r="D2" s="11"/>
      <x:c r="E2" s="11"/>
      <x:c r="F2" s="11"/>
      <x:c r="G2" s="11"/>
    </x:row>
    <x:row r="4">
      <x:c r="A4" s="26" t="str">
        <x:v>codigo_docente*</x:v>
      </x:c>
      <x:c r="B4" s="26" t="str">
        <x:v>tipo_registro*</x:v>
      </x:c>
      <x:c r="C4" s="20" t="str">
        <x:v>codigo_detalle</x:v>
      </x:c>
      <x:c r="D4" s="26" t="str">
        <x:v>valor_tipo*</x:v>
      </x:c>
      <x:c r="E4" s="20" t="str">
        <x:v>valor_numero</x:v>
      </x:c>
      <x:c r="F4" s="20" t="str">
        <x:v>confirmado</x:v>
      </x:c>
      <x:c r="G4" s="20" t="str">
        <x:v>notas</x:v>
      </x:c>
    </x:row>
  </x:sheetData>
  <x:dataValidations count="2">
    <x:dataValidation type="list" sqref="B5:B3000">
      <x:formula1>'99_Listas'!$G$5:$G$7</x:formula1>
    </x:dataValidation>
    <x:dataValidation type="list" sqref="F5:F3000">
      <x:formula1>'99_Listas'!$B$5:$B$6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30" customHeight="1">
      <x:c r="A1" s="4" t="str">
        <x:v>Materias</x:v>
      </x:c>
      <x:c r="B1" s="4"/>
      <x:c r="C1" s="4"/>
      <x:c r="D1" s="4"/>
    </x:row>
    <x:row r="2" ht="32" customHeight="1">
      <x:c r="A2" s="11" t="str">
        <x:v>Una fila por materia o actividad curricular.</x:v>
      </x:c>
      <x:c r="B2" s="11"/>
      <x:c r="C2" s="11"/>
      <x:c r="D2" s="11"/>
    </x:row>
    <x:row r="4">
      <x:c r="A4" s="26" t="str">
        <x:v>codigo_materia*</x:v>
      </x:c>
      <x:c r="B4" s="26" t="str">
        <x:v>nombre*</x:v>
      </x:c>
      <x:c r="C4" s="26" t="str">
        <x:v>categoria*</x:v>
      </x:c>
      <x:c r="D4" s="20" t="str">
        <x:v>codigo_oficial</x:v>
      </x:c>
    </x:row>
  </x:sheetData>
  <x:dataValidations count="1">
    <x:dataValidation type="list" sqref="C5:C1000">
      <x:formula1>'99_Listas'!$H$5:$H$9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Espacios</x:v>
      </x:c>
      <x:c r="B1" s="4"/>
      <x:c r="C1" s="4"/>
      <x:c r="D1" s="4"/>
      <x:c r="E1" s="4"/>
    </x:row>
    <x:row r="2" ht="32" customHeight="1">
      <x:c r="A2" s="11" t="str">
        <x:v>Incluya aulas, espacios específicos y zonas de guardia.</x:v>
      </x:c>
      <x:c r="B2" s="11"/>
      <x:c r="C2" s="11"/>
      <x:c r="D2" s="11"/>
      <x:c r="E2" s="11"/>
    </x:row>
    <x:row r="4">
      <x:c r="A4" s="26" t="str">
        <x:v>codigo_espacio*</x:v>
      </x:c>
      <x:c r="B4" s="26" t="str">
        <x:v>nombre*</x:v>
      </x:c>
      <x:c r="C4" s="26" t="str">
        <x:v>tipo*</x:v>
      </x:c>
      <x:c r="D4" s="20" t="str">
        <x:v>capacidad</x:v>
      </x:c>
      <x:c r="E4" s="26" t="str">
        <x:v>activo*</x:v>
      </x:c>
    </x:row>
  </x:sheetData>
  <x:dataValidations count="1">
    <x:dataValidation type="list" sqref="E5:E1000">
      <x:formula1>'99_Listas'!$B$5:$B$6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 ht="30" customHeight="1">
      <x:c r="A1" s="4" t="str">
        <x:v>Necesidades lectivas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1" t="str">
        <x:v>Una fila por necesidad grupo-materia. No cree sesiones concretas.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>
      <x:c r="A4" s="26" t="str">
        <x:v>codigo_necesidad*</x:v>
      </x:c>
      <x:c r="B4" s="26" t="str">
        <x:v>codigo_grupo*</x:v>
      </x:c>
      <x:c r="C4" s="26" t="str">
        <x:v>codigo_materia*</x:v>
      </x:c>
      <x:c r="D4" s="26" t="str">
        <x:v>sesiones_semanales*</x:v>
      </x:c>
      <x:c r="E4" s="26" t="str">
        <x:v>duracion_tramos*</x:v>
      </x:c>
      <x:c r="F4" s="26" t="str">
        <x:v>modalidad*</x:v>
      </x:c>
      <x:c r="G4" s="26" t="str">
        <x:v>participantes_requeridos*</x:v>
      </x:c>
      <x:c r="H4" s="26" t="str">
        <x:v>modo_docente*</x:v>
      </x:c>
      <x:c r="I4" s="26" t="str">
        <x:v>modo_espacio*</x:v>
      </x:c>
      <x:c r="J4" s="26" t="str">
        <x:v>activo*</x:v>
      </x:c>
      <x:c r="K4" s="20" t="str">
        <x:v>observaciones</x:v>
      </x:c>
    </x:row>
  </x:sheetData>
  <x:dataValidations count="4">
    <x:dataValidation type="list" sqref="F5:F5000">
      <x:formula1>'99_Listas'!$I$5:$I$8</x:formula1>
    </x:dataValidation>
    <x:dataValidation type="list" sqref="H5:H5000">
      <x:formula1>'99_Listas'!$J$5:$J$7</x:formula1>
    </x:dataValidation>
    <x:dataValidation type="list" sqref="I5:I5000">
      <x:formula1>'99_Listas'!$K$5:$K$8</x:formula1>
    </x:dataValidation>
    <x:dataValidation type="list" sqref="J5:J5000">
      <x:formula1>'99_Listas'!$B$5:$B$6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Requisitos de necesidades</x:v>
      </x:c>
      <x:c r="B1" s="4"/>
      <x:c r="C1" s="4"/>
      <x:c r="D1" s="4"/>
    </x:row>
    <x:row r="2" ht="32" customHeight="1">
      <x:c r="A2" s="11" t="str">
        <x:v>Una fila por requisito docente, especialidad o espacio.</x:v>
      </x:c>
      <x:c r="B2" s="11"/>
      <x:c r="C2" s="11"/>
      <x:c r="D2" s="11"/>
    </x:row>
    <x:row r="4">
      <x:c r="A4" s="26" t="str">
        <x:v>codigo_necesidad*</x:v>
      </x:c>
      <x:c r="B4" s="26" t="str">
        <x:v>tipo_requisito*</x:v>
      </x:c>
      <x:c r="C4" s="26" t="str">
        <x:v>valor*</x:v>
      </x:c>
    </x:row>
  </x:sheetData>
  <x:dataValidations count="1">
    <x:dataValidation type="list" sqref="B5:B10000">
      <x:formula1>'99_Listas'!$L$5:$L$9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30" customHeight="1">
      <x:c r="A1" s="4" t="str">
        <x:v>Disponibilidad y preferencias</x:v>
      </x:c>
      <x:c r="B1" s="4"/>
      <x:c r="C1" s="4"/>
      <x:c r="D1" s="4"/>
      <x:c r="E1" s="4"/>
    </x:row>
    <x:row r="2" ht="32" customHeight="1">
      <x:c r="A2" s="11" t="str">
        <x:v>Registre únicamente excepciones o preferencias.</x:v>
      </x:c>
      <x:c r="B2" s="11"/>
      <x:c r="C2" s="11"/>
      <x:c r="D2" s="11"/>
      <x:c r="E2" s="11"/>
    </x:row>
    <x:row r="4">
      <x:c r="A4" s="26" t="str">
        <x:v>codigo_docente*</x:v>
      </x:c>
      <x:c r="B4" s="26" t="str">
        <x:v>codigo_dia*</x:v>
      </x:c>
      <x:c r="C4" s="26" t="str">
        <x:v>codigo_tramo*</x:v>
      </x:c>
      <x:c r="D4" s="26" t="str">
        <x:v>estado*</x:v>
      </x:c>
      <x:c r="E4" s="20" t="str">
        <x:v>motivo</x:v>
      </x:c>
    </x:row>
  </x:sheetData>
  <x:dataValidations count="1">
    <x:dataValidation type="list" sqref="D5:D10000">
      <x:formula1>'99_Listas'!$M$5:$M$8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</x:cols>
  <x:sheetData>
    <x:row r="1" ht="30" customHeight="1">
      <x:c r="A1" s="4" t="str">
        <x:v>Actividades organizativas</x:v>
      </x:c>
      <x:c r="B1" s="4"/>
      <x:c r="C1" s="4"/>
      <x:c r="D1" s="4"/>
      <x:c r="E1" s="4"/>
      <x:c r="F1" s="4"/>
    </x:row>
    <x:row r="2" ht="32" customHeight="1">
      <x:c r="A2" s="11" t="str">
        <x:v>Reuniones, recreos, coordinaciones, guardias o liderazgo.</x:v>
      </x:c>
      <x:c r="B2" s="11"/>
      <x:c r="C2" s="11"/>
      <x:c r="D2" s="11"/>
      <x:c r="E2" s="11"/>
      <x:c r="F2" s="11"/>
    </x:row>
    <x:row r="4">
      <x:c r="A4" s="26" t="str">
        <x:v>codigo_actividad*</x:v>
      </x:c>
      <x:c r="B4" s="26" t="str">
        <x:v>tipo*</x:v>
      </x:c>
      <x:c r="C4" s="26" t="str">
        <x:v>etiqueta*</x:v>
      </x:c>
      <x:c r="D4" s="26" t="str">
        <x:v>ocurrencias_semanales*</x:v>
      </x:c>
      <x:c r="E4" s="20" t="str">
        <x:v>codigo_espacio</x:v>
      </x:c>
      <x:c r="F4" s="20" t="str">
        <x:v>notas</x:v>
      </x:c>
    </x:row>
  </x:sheetData>
  <x:dataValidations count="1">
    <x:dataValidation type="list" sqref="B5:B5000">
      <x:formula1>'99_Listas'!$N$5:$N$10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Participantes y ventanas de actividades</x:v>
      </x:c>
      <x:c r="B1" s="4"/>
      <x:c r="C1" s="4"/>
      <x:c r="D1" s="4"/>
    </x:row>
    <x:row r="2" ht="32" customHeight="1">
      <x:c r="A2" s="11" t="str">
        <x:v>Una fila por participante, día o tramo permitido.</x:v>
      </x:c>
      <x:c r="B2" s="11"/>
      <x:c r="C2" s="11"/>
      <x:c r="D2" s="11"/>
    </x:row>
    <x:row r="4">
      <x:c r="A4" s="26" t="str">
        <x:v>codigo_actividad*</x:v>
      </x:c>
      <x:c r="B4" s="26" t="str">
        <x:v>tipo_detalle*</x:v>
      </x:c>
      <x:c r="C4" s="26" t="str">
        <x:v>valor*</x:v>
      </x:c>
    </x:row>
  </x:sheetData>
  <x:dataValidations count="1">
    <x:dataValidation type="list" sqref="B5:B10000">
      <x:formula1>'99_Listas'!$O$5:$O$8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</x:cols>
  <x:sheetData>
    <x:row r="1" ht="30" customHeight="1">
      <x:c r="A1" s="4" t="str">
        <x:v>Restricciones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Los parámetros adicionales deben ser un objeto JSON válido.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codigo_restriccion*</x:v>
      </x:c>
      <x:c r="B4" s="26" t="str">
        <x:v>tipo*</x:v>
      </x:c>
      <x:c r="C4" s="26" t="str">
        <x:v>dureza*</x:v>
      </x:c>
      <x:c r="D4" s="26" t="str">
        <x:v>ambito*</x:v>
      </x:c>
      <x:c r="E4" s="20" t="str">
        <x:v>peso</x:v>
      </x:c>
      <x:c r="F4" s="26" t="str">
        <x:v>activo*</x:v>
      </x:c>
      <x:c r="G4" s="26" t="str">
        <x:v>parametros_json*</x:v>
      </x:c>
      <x:c r="H4" s="20" t="str">
        <x:v>notas</x:v>
      </x:c>
    </x:row>
  </x:sheetData>
  <x:dataValidations count="3">
    <x:dataValidation type="list" sqref="C5:C5000">
      <x:formula1>'99_Listas'!$P$5:$P$6</x:formula1>
    </x:dataValidation>
    <x:dataValidation type="list" sqref="D5:D5000">
      <x:formula1>'99_Listas'!$Q$5:$Q$10</x:formula1>
    </x:dataValidation>
    <x:dataValidation type="list" sqref="F5:F5000">
      <x:formula1>'99_Listas'!$B$5:$B$6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6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Configuración de generación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Complete una única fila. Las políticas protegidas figuran debajo.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codigo_perfil*</x:v>
      </x:c>
      <x:c r="B4" s="26" t="str">
        <x:v>backend_preferido*</x:v>
      </x:c>
      <x:c r="C4" s="26" t="str">
        <x:v>semilla*</x:v>
      </x:c>
      <x:c r="D4" s="26" t="str">
        <x:v>limite_tiempo_segundos*</x:v>
      </x:c>
      <x:c r="E4" s="26" t="str">
        <x:v>modo_presencia_minima*</x:v>
      </x:c>
      <x:c r="F4" s="26" t="str">
        <x:v>tramos_lectivos_semanales_esperados*</x:v>
      </x:c>
      <x:c r="G4" s="26" t="str">
        <x:v>lectura_cuenta_como_lectiva*</x:v>
      </x:c>
      <x:c r="H4" s="26" t="str">
        <x:v>permitir_avisos_en_borrador*</x:v>
      </x:c>
    </x:row>
    <x:row r="5">
      <x:c r="A5" t="str">
        <x:v>PROFILE-BALANCED</x:v>
      </x:c>
      <x:c r="B5" t="str">
        <x:v>AUTO</x:v>
      </x:c>
      <x:c r="C5" t="n">
        <x:v>20260614</x:v>
      </x:c>
      <x:c r="D5" t="n">
        <x:v>120</x:v>
      </x:c>
      <x:c r="E5" t="str">
        <x:v>BLOCKING</x:v>
      </x:c>
      <x:c r="F5" t="n">
        <x:v>25</x:v>
      </x:c>
      <x:c r="G5" t="str">
        <x:v>NO</x:v>
      </x:c>
      <x:c r="H5" t="str">
        <x:v>SI</x:v>
      </x:c>
    </x:row>
    <x:row r="10">
      <x:c r="A10" s="20" t="str">
        <x:v>POLÍTICA PROTEGIDA</x:v>
      </x:c>
      <x:c r="B10" s="20" t="str">
        <x:v>VALOR</x:v>
      </x:c>
      <x:c r="C10" s="20" t="str">
        <x:v>REGLA</x:v>
      </x:c>
    </x:row>
    <x:row r="11">
      <x:c r="A11" s="28" t="str">
        <x:v>directWriteAllowed</x:v>
      </x:c>
      <x:c r="B11" s="28" t="str">
        <x:v>NO</x:v>
      </x:c>
      <x:c r="C11" s="28" t="str">
        <x:v>El motor no escribe sobre el proyecto activo.</x:v>
      </x:c>
    </x:row>
    <x:row r="12">
      <x:c r="A12" s="28" t="str">
        <x:v>previewRequired</x:v>
      </x:c>
      <x:c r="B12" s="28" t="str">
        <x:v>SI</x:v>
      </x:c>
      <x:c r="C12" s="28" t="str">
        <x:v>Vista previa obligatoria.</x:v>
      </x:c>
    </x:row>
    <x:row r="13">
      <x:c r="A13" s="28" t="str">
        <x:v>explicitAcceptanceRequired</x:v>
      </x:c>
      <x:c r="B13" s="28" t="str">
        <x:v>SI</x:v>
      </x:c>
      <x:c r="C13" s="28" t="str">
        <x:v>Aceptación expresa.</x:v>
      </x:c>
    </x:row>
    <x:row r="14">
      <x:c r="A14" s="28" t="str">
        <x:v>repairCreatesCopy</x:v>
      </x:c>
      <x:c r="B14" s="28" t="str">
        <x:v>SI</x:v>
      </x:c>
      <x:c r="C14" s="28" t="str">
        <x:v>La reparación crea copia.</x:v>
      </x:c>
    </x:row>
    <x:row r="15">
      <x:c r="A15" s="28" t="str">
        <x:v>blockHardConflicts</x:v>
      </x:c>
      <x:c r="B15" s="28" t="str">
        <x:v>SI</x:v>
      </x:c>
      <x:c r="C15" s="28" t="str">
        <x:v>Los conflictos duros bloquean.</x:v>
      </x:c>
    </x:row>
    <x:row r="16">
      <x:c r="A16" s="28" t="str">
        <x:v>importedDraftRequiresRevalidation</x:v>
      </x:c>
      <x:c r="B16" s="28" t="str">
        <x:v>SI</x:v>
      </x:c>
      <x:c r="C16" s="28" t="str">
        <x:v>Todo borrador importado se revalida.</x:v>
      </x:c>
    </x:row>
    <x:row r="17">
      <x:c r="A17" s="28" t="str">
        <x:v>automaticPlacement</x:v>
      </x:c>
      <x:c r="B17" s="28" t="str">
        <x:v>NO</x:v>
      </x:c>
      <x:c r="C17" s="28" t="str">
        <x:v>La importación no coloca sesiones.</x:v>
      </x:c>
    </x:row>
  </x:sheetData>
  <x:dataValidations count="3">
    <x:dataValidation type="list" sqref="B5:B50">
      <x:formula1>'99_Listas'!$R$5:$R$8</x:formula1>
    </x:dataValidation>
    <x:dataValidation type="list" sqref="E5:E50">
      <x:formula1>'99_Listas'!$S$5:$S$6</x:formula1>
    </x:dataValidation>
    <x:dataValidation type="list" sqref="G5:H50">
      <x:formula1>'99_Listas'!$B$5:$B$6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5" hidden="0" customWidth="1"/>
    <x:col min="4" max="4" width="28" hidden="0" customWidth="1"/>
  </x:cols>
  <x:sheetData>
    <x:row r="1" ht="30" customHeight="1">
      <x:c r="A1" s="4" t="str">
        <x:v>Control de completitud</x:v>
      </x:c>
      <x:c r="B1" s="4"/>
      <x:c r="C1" s="4"/>
      <x:c r="D1" s="4"/>
    </x:row>
    <x:row r="2" ht="32" customHeight="1">
      <x:c r="A2" s="11" t="str">
        <x:v>Control orientativo. P6-0E realizará el preflight contractual.</x:v>
      </x:c>
      <x:c r="B2" s="11"/>
      <x:c r="C2" s="11"/>
      <x:c r="D2" s="11"/>
    </x:row>
    <x:row r="4">
      <x:c r="A4" s="20" t="str">
        <x:v>CONTROL</x:v>
      </x:c>
      <x:c r="B4" s="20" t="str">
        <x:v>TIPO</x:v>
      </x:c>
      <x:c r="C4" s="20" t="str">
        <x:v>INCIDENCIAS</x:v>
      </x:c>
      <x:c r="D4" s="20" t="str">
        <x:v>CRITERIO</x:v>
      </x:c>
    </x:row>
    <x:row r="5">
      <x:c r="A5" s="28" t="str">
        <x:v>Proyecto/Centro</x:v>
      </x:c>
      <x:c r="B5" s="28" t="str">
        <x:v>BLOQUEANTE</x:v>
      </x:c>
      <x:c r="C5" s="28" t="n">
        <x:f>IF(COUNTA('10_Proyecto_Centro'!A5:A50)=1,0,1)</x:f>
        <x:v>1</x:v>
      </x:c>
      <x:c r="D5" s="28" t="str">
        <x:v>Exactamente una fila</x:v>
      </x:c>
    </x:row>
    <x:row r="6">
      <x:c r="A6" s="28" t="str">
        <x:v>Días definidos</x:v>
      </x:c>
      <x:c r="B6" s="28" t="str">
        <x:v>BLOQUEANTE</x:v>
      </x:c>
      <x:c r="C6" s="28" t="n">
        <x:f>IF(COUNTIF('11_Tiempo'!A5:A500,"DAY")&gt;0,0,1)</x:f>
        <x:v>1</x:v>
      </x:c>
      <x:c r="D6" s="28" t="str">
        <x:v>Al menos un día</x:v>
      </x:c>
    </x:row>
    <x:row r="7">
      <x:c r="A7" s="28" t="str">
        <x:v>Tramos definidos</x:v>
      </x:c>
      <x:c r="B7" s="28" t="str">
        <x:v>BLOQUEANTE</x:v>
      </x:c>
      <x:c r="C7" s="28" t="n">
        <x:f>IF(COUNTIF('11_Tiempo'!A5:A500,"SLOT")&gt;0,0,1)</x:f>
        <x:v>1</x:v>
      </x:c>
      <x:c r="D7" s="28" t="str">
        <x:v>Al menos un tramo</x:v>
      </x:c>
    </x:row>
    <x:row r="8">
      <x:c r="A8" s="28" t="str">
        <x:v>Grupos definidos</x:v>
      </x:c>
      <x:c r="B8" s="28" t="str">
        <x:v>BLOQUEANTE</x:v>
      </x:c>
      <x:c r="C8" s="28" t="n">
        <x:f>IF(COUNTA('20_Grupos'!A5:A1000)&gt;0,0,1)</x:f>
        <x:v>1</x:v>
      </x:c>
      <x:c r="D8" s="28" t="str">
        <x:v>Al menos un grupo</x:v>
      </x:c>
    </x:row>
    <x:row r="9">
      <x:c r="A9" s="28" t="str">
        <x:v>Docentes definidos</x:v>
      </x:c>
      <x:c r="B9" s="28" t="str">
        <x:v>BLOQUEANTE</x:v>
      </x:c>
      <x:c r="C9" s="28" t="n">
        <x:f>IF(COUNTA('21_Profesorado'!A5:A1000)&gt;0,0,1)</x:f>
        <x:v>1</x:v>
      </x:c>
      <x:c r="D9" s="28" t="str">
        <x:v>Al menos un docente</x:v>
      </x:c>
    </x:row>
    <x:row r="10">
      <x:c r="A10" s="28" t="str">
        <x:v>Materias definidas</x:v>
      </x:c>
      <x:c r="B10" s="28" t="str">
        <x:v>BLOQUEANTE</x:v>
      </x:c>
      <x:c r="C10" s="28" t="n">
        <x:f>IF(COUNTA('30_Materias'!A5:A1000)&gt;0,0,1)</x:f>
        <x:v>1</x:v>
      </x:c>
      <x:c r="D10" s="28" t="str">
        <x:v>Al menos una materia</x:v>
      </x:c>
    </x:row>
    <x:row r="11">
      <x:c r="A11" s="28" t="str">
        <x:v>Necesidades definidas</x:v>
      </x:c>
      <x:c r="B11" s="28" t="str">
        <x:v>BLOQUEANTE</x:v>
      </x:c>
      <x:c r="C11" s="28" t="n">
        <x:f>IF(COUNTA('40_Necesidades'!A5:A5000)&gt;0,0,1)</x:f>
        <x:v>1</x:v>
      </x:c>
      <x:c r="D11" s="28" t="str">
        <x:v>Al menos una necesidad</x:v>
      </x:c>
    </x:row>
    <x:row r="12">
      <x:c r="A12" s="28" t="str">
        <x:v>Configuración</x:v>
      </x:c>
      <x:c r="B12" s="28" t="str">
        <x:v>BLOQUEANTE</x:v>
      </x:c>
      <x:c r="C12" s="28" t="n">
        <x:f>IF(COUNTA('71_Configuracion'!A5:A50)=1,0,1)</x:f>
        <x:v>1</x:v>
      </x:c>
      <x:c r="D12" s="28" t="str">
        <x:v>Exactamente una fila</x:v>
      </x:c>
    </x:row>
    <x:row r="13">
      <x:c r="A13" s="28" t="str">
        <x:v>Necesidades totales</x:v>
      </x:c>
      <x:c r="B13" s="28" t="str">
        <x:v>INFORMATIVO</x:v>
      </x:c>
      <x:c r="C13" s="28" t="n">
        <x:f>COUNTA('40_Necesidades'!A5:A5000)</x:f>
        <x:v>0</x:v>
      </x:c>
      <x:c r="D13" s="28" t="str">
        <x:v>Volumen</x:v>
      </x:c>
    </x:row>
    <x:row r="14">
      <x:c r="A14" s="28" t="str">
        <x:v>Sesiones semanales</x:v>
      </x:c>
      <x:c r="B14" s="28" t="str">
        <x:v>INFORMATIVO</x:v>
      </x:c>
      <x:c r="C14" s="28" t="n">
        <x:f>SUM('40_Necesidades'!D5:D5000)</x:f>
        <x:v>0</x:v>
      </x:c>
      <x:c r="D14" s="28" t="str">
        <x:v>Volumen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0" customHeight="1">
      <x:c r="A1" s="4" t="str">
        <x:v>Listas auxiliares</x:v>
      </x:c>
      <x:c r="B1" s="4"/>
      <x:c r="C1" s="4"/>
      <x:c r="D1" s="4"/>
    </x:row>
    <x:row r="2" ht="32" customHeight="1">
      <x:c r="A2" s="11" t="str">
        <x:v>No editar: alimenta los desplegables.</x:v>
      </x:c>
      <x:c r="B2" s="11"/>
      <x:c r="C2" s="11"/>
      <x:c r="D2" s="11"/>
    </x:row>
    <x:row r="4">
      <x:c r="A4" s="20" t="str">
        <x:v>ESTADO_PROYECTO</x:v>
      </x:c>
      <x:c r="B4" s="20" t="str">
        <x:v>SI_NO</x:v>
      </x:c>
      <x:c r="C4" s="20" t="str">
        <x:v>REGISTRO_TIEMPO</x:v>
      </x:c>
      <x:c r="D4" s="20" t="str">
        <x:v>TIPO_TRAMO</x:v>
      </x:c>
      <x:c r="E4" s="20" t="str">
        <x:v>NATURALEZA</x:v>
      </x:c>
      <x:c r="F4" s="20" t="str">
        <x:v>PRIVACIDAD</x:v>
      </x:c>
      <x:c r="G4" s="20" t="str">
        <x:v>DETALLE_DOCENTE</x:v>
      </x:c>
      <x:c r="H4" s="20" t="str">
        <x:v>CATEGORIA_MATERIA</x:v>
      </x:c>
      <x:c r="I4" s="20" t="str">
        <x:v>MODALIDAD</x:v>
      </x:c>
      <x:c r="J4" s="20" t="str">
        <x:v>MODO_DOCENTE</x:v>
      </x:c>
      <x:c r="K4" s="20" t="str">
        <x:v>MODO_ESPACIO</x:v>
      </x:c>
      <x:c r="L4" s="20" t="str">
        <x:v>REQUISITO</x:v>
      </x:c>
      <x:c r="M4" s="20" t="str">
        <x:v>DISPONIBILIDAD</x:v>
      </x:c>
      <x:c r="N4" s="20" t="str">
        <x:v>ACTIVIDAD</x:v>
      </x:c>
      <x:c r="O4" s="20" t="str">
        <x:v>DETALLE_ACTIVIDAD</x:v>
      </x:c>
      <x:c r="P4" s="20" t="str">
        <x:v>DUREZA</x:v>
      </x:c>
      <x:c r="Q4" s="20" t="str">
        <x:v>AMBITO</x:v>
      </x:c>
      <x:c r="R4" s="20" t="str">
        <x:v>BACKEND</x:v>
      </x:c>
      <x:c r="S4" s="20" t="str">
        <x:v>PRESENCIA</x:v>
      </x:c>
    </x:row>
    <x:row r="5">
      <x:c r="A5" t="str">
        <x:v>DRAFT</x:v>
      </x:c>
      <x:c r="B5" t="str">
        <x:v>SI</x:v>
      </x:c>
      <x:c r="C5" t="str">
        <x:v>DAY</x:v>
      </x:c>
      <x:c r="D5" t="str">
        <x:v>LECTIVE</x:v>
      </x:c>
      <x:c r="E5" t="str">
        <x:v>REAL</x:v>
      </x:c>
      <x:c r="F5" t="str">
        <x:v>PRIVATE</x:v>
      </x:c>
      <x:c r="G5" t="str">
        <x:v>SPECIALTY</x:v>
      </x:c>
      <x:c r="H5" t="str">
        <x:v>CURRICULAR</x:v>
      </x:c>
      <x:c r="I5" t="str">
        <x:v>STANDARD</x:v>
      </x:c>
      <x:c r="J5" t="str">
        <x:v>ANY_QUALIFIED</x:v>
      </x:c>
      <x:c r="K5" t="str">
        <x:v>NONE</x:v>
      </x:c>
      <x:c r="L5" t="str">
        <x:v>FIXED_TEACHER</x:v>
      </x:c>
      <x:c r="M5" t="str">
        <x:v>AVAILABLE</x:v>
      </x:c>
      <x:c r="N5" t="str">
        <x:v>MEETING</x:v>
      </x:c>
      <x:c r="O5" t="str">
        <x:v>TEACHER</x:v>
      </x:c>
      <x:c r="P5" t="str">
        <x:v>HARD</x:v>
      </x:c>
      <x:c r="Q5" t="str">
        <x:v>CENTER</x:v>
      </x:c>
      <x:c r="R5" t="str">
        <x:v>AUTO</x:v>
      </x:c>
      <x:c r="S5" t="str">
        <x:v>BLOCKING</x:v>
      </x:c>
    </x:row>
    <x:row r="6">
      <x:c r="A6" t="str">
        <x:v>PREVALIDATED</x:v>
      </x:c>
      <x:c r="B6" t="str">
        <x:v>NO</x:v>
      </x:c>
      <x:c r="C6" t="str">
        <x:v>SLOT</x:v>
      </x:c>
      <x:c r="D6" t="str">
        <x:v>RECESS</x:v>
      </x:c>
      <x:c r="E6" t="str">
        <x:v>ANONYMIZED</x:v>
      </x:c>
      <x:c r="F6" t="str">
        <x:v>INTERNAL</x:v>
      </x:c>
      <x:c r="G6" t="str">
        <x:v>REDUCTION</x:v>
      </x:c>
      <x:c r="H6" t="str">
        <x:v>TUTORSHIP</x:v>
      </x:c>
      <x:c r="I6" t="str">
        <x:v>SHARED_TEACHING</x:v>
      </x:c>
      <x:c r="J6" t="str">
        <x:v>FIXED</x:v>
      </x:c>
      <x:c r="K6" t="str">
        <x:v>HOME</x:v>
      </x:c>
      <x:c r="L6" t="str">
        <x:v>ALLOWED_TEACHER</x:v>
      </x:c>
      <x:c r="M6" t="str">
        <x:v>UNAVAILABLE</x:v>
      </x:c>
      <x:c r="N6" t="str">
        <x:v>RECESS_DUTY</x:v>
      </x:c>
      <x:c r="O6" t="str">
        <x:v>GROUP</x:v>
      </x:c>
      <x:c r="P6" t="str">
        <x:v>SOFT</x:v>
      </x:c>
      <x:c r="Q6" t="str">
        <x:v>GROUP</x:v>
      </x:c>
      <x:c r="R6" t="str">
        <x:v>HYBRID</x:v>
      </x:c>
      <x:c r="S6" t="str">
        <x:v>WARNING</x:v>
      </x:c>
    </x:row>
    <x:row r="7">
      <x:c r="A7" t="str">
        <x:v>CANDIDATE</x:v>
      </x:c>
      <x:c r="D7" t="str">
        <x:v>READING</x:v>
      </x:c>
      <x:c r="E7" t="str">
        <x:v>SYNTHETIC</x:v>
      </x:c>
      <x:c r="F7" t="str">
        <x:v>SYNTHETIC</x:v>
      </x:c>
      <x:c r="G7" t="str">
        <x:v>ROLE</x:v>
      </x:c>
      <x:c r="H7" t="str">
        <x:v>SUPPORT</x:v>
      </x:c>
      <x:c r="I7" t="str">
        <x:v>SUPPORT</x:v>
      </x:c>
      <x:c r="J7" t="str">
        <x:v>ALLOWED_SET</x:v>
      </x:c>
      <x:c r="K7" t="str">
        <x:v>FIXED</x:v>
      </x:c>
      <x:c r="L7" t="str">
        <x:v>REQUIRED_SPECIALTY</x:v>
      </x:c>
      <x:c r="M7" t="str">
        <x:v>PREFERRED</x:v>
      </x:c>
      <x:c r="N7" t="str">
        <x:v>COORDINATION</x:v>
      </x:c>
      <x:c r="O7" t="str">
        <x:v>DAY</x:v>
      </x:c>
      <x:c r="Q7" t="str">
        <x:v>TEACHER</x:v>
      </x:c>
      <x:c r="R7" t="str">
        <x:v>CP_SAT</x:v>
      </x:c>
    </x:row>
    <x:row r="8">
      <x:c r="A8" t="str">
        <x:v>ACCEPTED</x:v>
      </x:c>
      <x:c r="D8" t="str">
        <x:v>ENTRY</x:v>
      </x:c>
      <x:c r="F8" t="str">
        <x:v>PUBLIC</x:v>
      </x:c>
      <x:c r="H8" t="str">
        <x:v>ORGANIZATIONAL</x:v>
      </x:c>
      <x:c r="I8" t="str">
        <x:v>SPLIT_GROUP</x:v>
      </x:c>
      <x:c r="K8" t="str">
        <x:v>ALLOWED_SET</x:v>
      </x:c>
      <x:c r="L8" t="str">
        <x:v>FIXED_SPACE</x:v>
      </x:c>
      <x:c r="M8" t="str">
        <x:v>AVOID</x:v>
      </x:c>
      <x:c r="N8" t="str">
        <x:v>GUARD</x:v>
      </x:c>
      <x:c r="O8" t="str">
        <x:v>SLOT</x:v>
      </x:c>
      <x:c r="Q8" t="str">
        <x:v>SUBJECT</x:v>
      </x:c>
      <x:c r="R8" t="str">
        <x:v>HEURISTIC</x:v>
      </x:c>
    </x:row>
    <x:row r="9">
      <x:c r="A9" t="str">
        <x:v>ARCHIVED</x:v>
      </x:c>
      <x:c r="D9" t="str">
        <x:v>EXIT</x:v>
      </x:c>
      <x:c r="H9" t="str">
        <x:v>OTHER</x:v>
      </x:c>
      <x:c r="L9" t="str">
        <x:v>ALLOWED_SPACE</x:v>
      </x:c>
      <x:c r="N9" t="str">
        <x:v>LEADERSHIP</x:v>
      </x:c>
      <x:c r="Q9" t="str">
        <x:v>SPACE</x:v>
      </x:c>
    </x:row>
    <x:row r="10">
      <x:c r="D10" t="str">
        <x:v>NON_LECTIVE</x:v>
      </x:c>
      <x:c r="N10" t="str">
        <x:v>OTHER</x:v>
      </x:c>
      <x:c r="Q10" t="str">
        <x:v>SESSION</x:v>
      </x:c>
    </x:row>
  </x:sheetData>
  <x:pageMargins left="0.7" right="0.7" top="0.75" bottom="0.75" header="0.3" footer="0.3"/>
</x:worksheet>
</file>